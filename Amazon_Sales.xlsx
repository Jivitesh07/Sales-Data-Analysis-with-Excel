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US TUF\Downloads\"/>
    </mc:Choice>
  </mc:AlternateContent>
  <xr:revisionPtr revIDLastSave="0" documentId="8_{8148B291-24E7-453B-8BB3-3934622245DA}" xr6:coauthVersionLast="47" xr6:coauthVersionMax="47" xr10:uidLastSave="{00000000-0000-0000-0000-000000000000}"/>
  <bookViews>
    <workbookView xWindow="-108" yWindow="-108" windowWidth="23256" windowHeight="12456" activeTab="2" xr2:uid="{00000000-000D-0000-FFFF-FFFF00000000}"/>
  </bookViews>
  <sheets>
    <sheet name="Pivot_Tables" sheetId="2" r:id="rId1"/>
    <sheet name="Charts" sheetId="4" r:id="rId2"/>
    <sheet name="Amazon_Sales" sheetId="1" r:id="rId3"/>
  </sheets>
  <definedNames>
    <definedName name="Slicer_Category">#N/A</definedName>
    <definedName name="Slicer_Region">#N/A</definedName>
    <definedName name="Slicer_Segment">#N/A</definedName>
  </definedNames>
  <calcPr calcId="191029"/>
  <pivotCaches>
    <pivotCache cacheId="19" r:id="rId4"/>
    <pivotCache cacheId="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 l="1"/>
  <c r="I6" i="1"/>
  <c r="I7" i="1"/>
  <c r="I8" i="1"/>
  <c r="I9" i="1"/>
  <c r="I10" i="1"/>
  <c r="I11" i="1"/>
  <c r="I4" i="1"/>
  <c r="I3" i="1"/>
  <c r="I2" i="1"/>
</calcChain>
</file>

<file path=xl/sharedStrings.xml><?xml version="1.0" encoding="utf-8"?>
<sst xmlns="http://schemas.openxmlformats.org/spreadsheetml/2006/main" count="108" uniqueCount="56">
  <si>
    <t>Order ID</t>
  </si>
  <si>
    <t>Order Date</t>
  </si>
  <si>
    <t>Category</t>
  </si>
  <si>
    <t>Sub-Category</t>
  </si>
  <si>
    <t>Region</t>
  </si>
  <si>
    <t>Segment</t>
  </si>
  <si>
    <t>Sales</t>
  </si>
  <si>
    <t>Profit</t>
  </si>
  <si>
    <t>2024-01-05</t>
  </si>
  <si>
    <t>Electronics</t>
  </si>
  <si>
    <t>Mobiles</t>
  </si>
  <si>
    <t>North</t>
  </si>
  <si>
    <t>Consumer</t>
  </si>
  <si>
    <t>2024-01-06</t>
  </si>
  <si>
    <t>Laptops</t>
  </si>
  <si>
    <t>West</t>
  </si>
  <si>
    <t>Corporate</t>
  </si>
  <si>
    <t>2024-01-07</t>
  </si>
  <si>
    <t>Home &amp; Kitchen</t>
  </si>
  <si>
    <t>Cookware</t>
  </si>
  <si>
    <t>South</t>
  </si>
  <si>
    <t>2024-01-08</t>
  </si>
  <si>
    <t>Fashion</t>
  </si>
  <si>
    <t>Men Clothing</t>
  </si>
  <si>
    <t>East</t>
  </si>
  <si>
    <t>Home Office</t>
  </si>
  <si>
    <t>2024-01-09</t>
  </si>
  <si>
    <t>Women Clothing</t>
  </si>
  <si>
    <t>2024-01-10</t>
  </si>
  <si>
    <t>Accessories</t>
  </si>
  <si>
    <t>2024-01-11</t>
  </si>
  <si>
    <t>Furniture</t>
  </si>
  <si>
    <t>2024-01-12</t>
  </si>
  <si>
    <t>Beauty</t>
  </si>
  <si>
    <t>Skincare</t>
  </si>
  <si>
    <t>2024-01-13</t>
  </si>
  <si>
    <t>Haircare</t>
  </si>
  <si>
    <t>2024-01-14</t>
  </si>
  <si>
    <t>Tablets</t>
  </si>
  <si>
    <t>Row Labels</t>
  </si>
  <si>
    <t>Grand Total</t>
  </si>
  <si>
    <t>Sum of Sales</t>
  </si>
  <si>
    <t>Profit Margin</t>
  </si>
  <si>
    <r>
      <t>West region records the highest total sales</t>
    </r>
    <r>
      <rPr>
        <sz val="11"/>
        <color theme="1"/>
        <rFont val="Calibri"/>
        <family val="2"/>
        <scheme val="minor"/>
      </rPr>
      <t>, indicating strong market presence and customer demand.</t>
    </r>
  </si>
  <si>
    <r>
      <t>North region is the second-highest contributor</t>
    </r>
    <r>
      <rPr>
        <sz val="11"/>
        <color theme="1"/>
        <rFont val="Calibri"/>
        <family val="2"/>
        <scheme val="minor"/>
      </rPr>
      <t>, showing stable and consistent performance.</t>
    </r>
  </si>
  <si>
    <r>
      <t>South region shows moderate sales</t>
    </r>
    <r>
      <rPr>
        <sz val="11"/>
        <color theme="1"/>
        <rFont val="Calibri"/>
        <family val="2"/>
        <scheme val="minor"/>
      </rPr>
      <t>, suggesting potential for growth with targeted strategies.</t>
    </r>
  </si>
  <si>
    <r>
      <t>East region has the lowest sales contribution</t>
    </r>
    <r>
      <rPr>
        <sz val="11"/>
        <color theme="1"/>
        <rFont val="Calibri"/>
        <family val="2"/>
        <scheme val="minor"/>
      </rPr>
      <t>, highlighting an opportunity for market expansion and improvement.</t>
    </r>
  </si>
  <si>
    <r>
      <t>Consumer segment contributes the largest share of total sales</t>
    </r>
    <r>
      <rPr>
        <sz val="11"/>
        <color theme="1"/>
        <rFont val="Calibri"/>
        <family val="2"/>
        <scheme val="minor"/>
      </rPr>
      <t>, making it the most dominant customer segment.</t>
    </r>
  </si>
  <si>
    <r>
      <t>West–Consumer combination generates the highest sales</t>
    </r>
    <r>
      <rPr>
        <sz val="11"/>
        <color theme="1"/>
        <rFont val="Calibri"/>
        <family val="2"/>
        <scheme val="minor"/>
      </rPr>
      <t>, emphasizing strong consumer demand in the West region.</t>
    </r>
  </si>
  <si>
    <r>
      <t>Corporate and Home Office segments contribute comparatively lower sales</t>
    </r>
    <r>
      <rPr>
        <sz val="11"/>
        <color theme="1"/>
        <rFont val="Calibri"/>
        <family val="2"/>
        <scheme val="minor"/>
      </rPr>
      <t>, indicating niche or limited demand.</t>
    </r>
  </si>
  <si>
    <r>
      <t>Sales are unevenly distributed across segments</t>
    </r>
    <r>
      <rPr>
        <sz val="11"/>
        <color theme="1"/>
        <rFont val="Calibri"/>
        <family val="2"/>
        <scheme val="minor"/>
      </rPr>
      <t>, suggesting the need for segment-specific marketing strategies.</t>
    </r>
  </si>
  <si>
    <t>INSIGHTS FOR EACH CHART</t>
  </si>
  <si>
    <r>
      <t>1. Electronics category has the highest sales contribution</t>
    </r>
    <r>
      <rPr>
        <sz val="11"/>
        <color theme="1"/>
        <rFont val="Calibri"/>
        <family val="2"/>
        <scheme val="minor"/>
      </rPr>
      <t>, making it the primary revenue driver.</t>
    </r>
  </si>
  <si>
    <r>
      <t>2. Home &amp; Kitchen and Fashion categories show similar performance</t>
    </r>
    <r>
      <rPr>
        <sz val="11"/>
        <color theme="1"/>
        <rFont val="Calibri"/>
        <family val="2"/>
        <scheme val="minor"/>
      </rPr>
      <t>, contributing moderately to total sales.</t>
    </r>
  </si>
  <si>
    <r>
      <t>3. Beauty category contributes the least</t>
    </r>
    <r>
      <rPr>
        <sz val="11"/>
        <color theme="1"/>
        <rFont val="Calibri"/>
        <family val="2"/>
        <scheme val="minor"/>
      </rPr>
      <t>, indicating relatively lower customer demand.</t>
    </r>
  </si>
  <si>
    <r>
      <t>4. Sales are concentrated in Electronics</t>
    </r>
    <r>
      <rPr>
        <sz val="11"/>
        <color theme="1"/>
        <rFont val="Calibri"/>
        <family val="2"/>
        <scheme val="minor"/>
      </rPr>
      <t>, suggesting dependency on a single category for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</si>
</sst>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9" fontId="0" fillId="0" borderId="0" xfId="1" applyFont="1"/>
    <xf numFmtId="0" fontId="2" fillId="0" borderId="0" xfId="0" applyFont="1"/>
    <xf numFmtId="0" fontId="3" fillId="0" borderId="0" xfId="0" applyFont="1"/>
    <xf numFmtId="0" fontId="4" fillId="0" borderId="0" xfId="0" applyFont="1"/>
    <xf numFmtId="0" fontId="2" fillId="0" borderId="0" xfId="0" applyFont="1" applyAlignment="1">
      <alignment horizontal="left" vertical="center" indent="1"/>
    </xf>
    <xf numFmtId="0" fontId="0" fillId="0" borderId="0" xfId="0" applyAlignment="1">
      <alignment horizontal="left" vertical="center" indent="1"/>
    </xf>
  </cellXfs>
  <cellStyles count="2">
    <cellStyle name="Normal" xfId="0" builtinId="0"/>
    <cellStyle name="Percent" xfId="1" builtinId="5"/>
  </cellStyles>
  <dxfs count="0"/>
  <tableStyles count="0" defaultTableStyle="TableStyleMedium9" defaultPivotStyle="PivotStyleLight16"/>
  <colors>
    <mruColors>
      <color rgb="FF00FF00"/>
      <color rgb="FFCCFFCC"/>
      <color rgb="FF9999FF"/>
      <color rgb="FF00FFCC"/>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[Amazon_Sales.xlsx]Pivot_Tables!PivotTable3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Pivot_Tables!$H$3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040-4075-A502-E27F63EE02E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040-4075-A502-E27F63EE02E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040-4075-A502-E27F63EE02E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040-4075-A502-E27F63EE02E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040-4075-A502-E27F63EE02E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040-4075-A502-E27F63EE02E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040-4075-A502-E27F63EE02E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040-4075-A502-E27F63EE02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Pivot_Tables!$G$4:$G$16</c:f>
              <c:multiLvlStrCache>
                <c:ptCount val="8"/>
                <c:lvl>
                  <c:pt idx="0">
                    <c:v>Consumer</c:v>
                  </c:pt>
                  <c:pt idx="1">
                    <c:v>Home Office</c:v>
                  </c:pt>
                  <c:pt idx="2">
                    <c:v>Consumer</c:v>
                  </c:pt>
                  <c:pt idx="3">
                    <c:v>Corporate</c:v>
                  </c:pt>
                  <c:pt idx="4">
                    <c:v>Consumer</c:v>
                  </c:pt>
                  <c:pt idx="5">
                    <c:v>Consumer</c:v>
                  </c:pt>
                  <c:pt idx="6">
                    <c:v>Corporate</c:v>
                  </c:pt>
                  <c:pt idx="7">
                    <c:v>Home Office</c:v>
                  </c:pt>
                </c:lvl>
                <c:lvl>
                  <c:pt idx="0">
                    <c:v>East</c:v>
                  </c:pt>
                  <c:pt idx="2">
                    <c:v>North</c:v>
                  </c:pt>
                  <c:pt idx="4">
                    <c:v>South</c:v>
                  </c:pt>
                  <c:pt idx="5">
                    <c:v>West</c:v>
                  </c:pt>
                </c:lvl>
              </c:multiLvlStrCache>
            </c:multiLvlStrRef>
          </c:cat>
          <c:val>
            <c:numRef>
              <c:f>Pivot_Tables!$H$4:$H$16</c:f>
              <c:numCache>
                <c:formatCode>General</c:formatCode>
                <c:ptCount val="8"/>
                <c:pt idx="0">
                  <c:v>15000</c:v>
                </c:pt>
                <c:pt idx="1">
                  <c:v>22000</c:v>
                </c:pt>
                <c:pt idx="2">
                  <c:v>73000</c:v>
                </c:pt>
                <c:pt idx="3">
                  <c:v>12000</c:v>
                </c:pt>
                <c:pt idx="4">
                  <c:v>58000</c:v>
                </c:pt>
                <c:pt idx="5">
                  <c:v>30000</c:v>
                </c:pt>
                <c:pt idx="6">
                  <c:v>75000</c:v>
                </c:pt>
                <c:pt idx="7">
                  <c:v>17000</c:v>
                </c:pt>
              </c:numCache>
            </c:numRef>
          </c:val>
          <c:extLst>
            <c:ext xmlns:c16="http://schemas.microsoft.com/office/drawing/2014/chart" uri="{C3380CC4-5D6E-409C-BE32-E72D297353CC}">
              <c16:uniqueId val="{00000010-C040-4075-A502-E27F63EE02EA}"/>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[Amazon_Sales.xlsx]Pivot_Tables!PivotTable1</c:name>
    <c:fmtId val="23"/>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Pivot_Tables!$B$3</c:f>
              <c:strCache>
                <c:ptCount val="1"/>
                <c:pt idx="0">
                  <c:v>Total</c:v>
                </c:pt>
              </c:strCache>
            </c:strRef>
          </c:tx>
          <c:spPr>
            <a:solidFill>
              <a:schemeClr val="accent5">
                <a:lumMod val="40000"/>
                <a:lumOff val="60000"/>
              </a:schemeClr>
            </a:solidFill>
            <a:ln>
              <a:solidFill>
                <a:schemeClr val="accent1"/>
              </a:solidFill>
            </a:ln>
            <a:effectLst/>
            <a:sp3d>
              <a:contourClr>
                <a:schemeClr val="accent1"/>
              </a:contourClr>
            </a:sp3d>
          </c:spPr>
          <c:invertIfNegative val="0"/>
          <c:cat>
            <c:strRef>
              <c:f>Pivot_Tables!$A$4:$A$8</c:f>
              <c:strCache>
                <c:ptCount val="4"/>
                <c:pt idx="0">
                  <c:v>Electronics</c:v>
                </c:pt>
                <c:pt idx="1">
                  <c:v>Home &amp; Kitchen</c:v>
                </c:pt>
                <c:pt idx="2">
                  <c:v>Fashion</c:v>
                </c:pt>
                <c:pt idx="3">
                  <c:v>Beauty</c:v>
                </c:pt>
              </c:strCache>
            </c:strRef>
          </c:cat>
          <c:val>
            <c:numRef>
              <c:f>Pivot_Tables!$B$4:$B$8</c:f>
              <c:numCache>
                <c:formatCode>General</c:formatCode>
                <c:ptCount val="4"/>
                <c:pt idx="0">
                  <c:v>160000</c:v>
                </c:pt>
                <c:pt idx="1">
                  <c:v>58000</c:v>
                </c:pt>
                <c:pt idx="2">
                  <c:v>52000</c:v>
                </c:pt>
                <c:pt idx="3">
                  <c:v>32000</c:v>
                </c:pt>
              </c:numCache>
            </c:numRef>
          </c:val>
          <c:extLst>
            <c:ext xmlns:c16="http://schemas.microsoft.com/office/drawing/2014/chart" uri="{C3380CC4-5D6E-409C-BE32-E72D297353CC}">
              <c16:uniqueId val="{00000000-E918-4BDA-8897-EF014460D088}"/>
            </c:ext>
          </c:extLst>
        </c:ser>
        <c:dLbls>
          <c:showLegendKey val="0"/>
          <c:showVal val="0"/>
          <c:showCatName val="0"/>
          <c:showSerName val="0"/>
          <c:showPercent val="0"/>
          <c:showBubbleSize val="0"/>
        </c:dLbls>
        <c:gapWidth val="150"/>
        <c:shape val="box"/>
        <c:axId val="534092424"/>
        <c:axId val="534090984"/>
        <c:axId val="0"/>
      </c:bar3DChart>
      <c:catAx>
        <c:axId val="53409242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90984"/>
        <c:crosses val="autoZero"/>
        <c:auto val="1"/>
        <c:lblAlgn val="ctr"/>
        <c:lblOffset val="100"/>
        <c:noMultiLvlLbl val="0"/>
      </c:catAx>
      <c:valAx>
        <c:axId val="534090984"/>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92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[Amazon_Sales.xlsx]Pivot_Tables!PivotTable4</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1724759405074366"/>
          <c:y val="0.20724990483059844"/>
          <c:w val="0.72767847769028871"/>
          <c:h val="0.61048633233822869"/>
        </c:manualLayout>
      </c:layout>
      <c:barChart>
        <c:barDir val="col"/>
        <c:grouping val="stacked"/>
        <c:varyColors val="0"/>
        <c:ser>
          <c:idx val="0"/>
          <c:order val="0"/>
          <c:tx>
            <c:strRef>
              <c:f>Pivot_Tables!$E$11</c:f>
              <c:strCache>
                <c:ptCount val="1"/>
                <c:pt idx="0">
                  <c:v>Total</c:v>
                </c:pt>
              </c:strCache>
            </c:strRef>
          </c:tx>
          <c:spPr>
            <a:solidFill>
              <a:schemeClr val="accent1"/>
            </a:solidFill>
            <a:ln>
              <a:noFill/>
            </a:ln>
            <a:effectLst/>
          </c:spPr>
          <c:invertIfNegative val="0"/>
          <c:cat>
            <c:strRef>
              <c:f>Pivot_Tables!$D$12:$D$16</c:f>
              <c:strCache>
                <c:ptCount val="4"/>
                <c:pt idx="0">
                  <c:v>East</c:v>
                </c:pt>
                <c:pt idx="1">
                  <c:v>North</c:v>
                </c:pt>
                <c:pt idx="2">
                  <c:v>South</c:v>
                </c:pt>
                <c:pt idx="3">
                  <c:v>West</c:v>
                </c:pt>
              </c:strCache>
            </c:strRef>
          </c:cat>
          <c:val>
            <c:numRef>
              <c:f>Pivot_Tables!$E$12:$E$16</c:f>
              <c:numCache>
                <c:formatCode>General</c:formatCode>
                <c:ptCount val="4"/>
                <c:pt idx="0">
                  <c:v>37000</c:v>
                </c:pt>
                <c:pt idx="1">
                  <c:v>85000</c:v>
                </c:pt>
                <c:pt idx="2">
                  <c:v>58000</c:v>
                </c:pt>
                <c:pt idx="3">
                  <c:v>122000</c:v>
                </c:pt>
              </c:numCache>
            </c:numRef>
          </c:val>
          <c:extLst>
            <c:ext xmlns:c16="http://schemas.microsoft.com/office/drawing/2014/chart" uri="{C3380CC4-5D6E-409C-BE32-E72D297353CC}">
              <c16:uniqueId val="{00000000-A351-4685-923E-BA50FFD2A866}"/>
            </c:ext>
          </c:extLst>
        </c:ser>
        <c:dLbls>
          <c:showLegendKey val="0"/>
          <c:showVal val="0"/>
          <c:showCatName val="0"/>
          <c:showSerName val="0"/>
          <c:showPercent val="0"/>
          <c:showBubbleSize val="0"/>
        </c:dLbls>
        <c:gapWidth val="150"/>
        <c:overlap val="100"/>
        <c:axId val="942729120"/>
        <c:axId val="942729480"/>
      </c:barChart>
      <c:catAx>
        <c:axId val="94272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729480"/>
        <c:crosses val="autoZero"/>
        <c:auto val="1"/>
        <c:lblAlgn val="ctr"/>
        <c:lblOffset val="100"/>
        <c:noMultiLvlLbl val="0"/>
      </c:catAx>
      <c:valAx>
        <c:axId val="942729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72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402418</xdr:colOff>
      <xdr:row>17</xdr:row>
      <xdr:rowOff>52852</xdr:rowOff>
    </xdr:from>
    <xdr:to>
      <xdr:col>8</xdr:col>
      <xdr:colOff>389682</xdr:colOff>
      <xdr:row>30</xdr:row>
      <xdr:rowOff>141348</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2511456E-B072-CC0C-CD53-DABCFEEE02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95645" y="3144147"/>
              <a:ext cx="1831651" cy="2452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206916</xdr:colOff>
      <xdr:row>16</xdr:row>
      <xdr:rowOff>149063</xdr:rowOff>
    </xdr:from>
    <xdr:to>
      <xdr:col>5</xdr:col>
      <xdr:colOff>329837</xdr:colOff>
      <xdr:row>30</xdr:row>
      <xdr:rowOff>50708</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23750FD-F649-6546-6C73-2FDA1AC96A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88166" y="3058518"/>
              <a:ext cx="1828762" cy="2447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99156</xdr:colOff>
      <xdr:row>13</xdr:row>
      <xdr:rowOff>62611</xdr:rowOff>
    </xdr:from>
    <xdr:to>
      <xdr:col>2</xdr:col>
      <xdr:colOff>152496</xdr:colOff>
      <xdr:row>26</xdr:row>
      <xdr:rowOff>157156</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5284C47A-0F34-7896-195A-B0031D85F49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9156" y="2426543"/>
              <a:ext cx="1828454" cy="2458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315309</xdr:colOff>
      <xdr:row>3</xdr:row>
      <xdr:rowOff>144516</xdr:rowOff>
    </xdr:from>
    <xdr:to>
      <xdr:col>22</xdr:col>
      <xdr:colOff>117230</xdr:colOff>
      <xdr:row>18</xdr:row>
      <xdr:rowOff>144516</xdr:rowOff>
    </xdr:to>
    <xdr:graphicFrame macro="">
      <xdr:nvGraphicFramePr>
        <xdr:cNvPr id="2" name="Chart 1">
          <a:extLst>
            <a:ext uri="{FF2B5EF4-FFF2-40B4-BE49-F238E27FC236}">
              <a16:creationId xmlns:a16="http://schemas.microsoft.com/office/drawing/2014/main" id="{FE97ED33-D4E2-4E89-873C-11F426CD4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367860</xdr:colOff>
      <xdr:row>3</xdr:row>
      <xdr:rowOff>118241</xdr:rowOff>
    </xdr:from>
    <xdr:to>
      <xdr:col>32</xdr:col>
      <xdr:colOff>328245</xdr:colOff>
      <xdr:row>18</xdr:row>
      <xdr:rowOff>118241</xdr:rowOff>
    </xdr:to>
    <xdr:graphicFrame macro="">
      <xdr:nvGraphicFramePr>
        <xdr:cNvPr id="3" name="Chart 2">
          <a:extLst>
            <a:ext uri="{FF2B5EF4-FFF2-40B4-BE49-F238E27FC236}">
              <a16:creationId xmlns:a16="http://schemas.microsoft.com/office/drawing/2014/main" id="{A556932D-1877-487F-9A08-A41F5035B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93785</xdr:colOff>
      <xdr:row>3</xdr:row>
      <xdr:rowOff>39414</xdr:rowOff>
    </xdr:from>
    <xdr:to>
      <xdr:col>10</xdr:col>
      <xdr:colOff>35169</xdr:colOff>
      <xdr:row>19</xdr:row>
      <xdr:rowOff>109044</xdr:rowOff>
    </xdr:to>
    <xdr:graphicFrame macro="">
      <xdr:nvGraphicFramePr>
        <xdr:cNvPr id="4" name="Chart 3">
          <a:extLst>
            <a:ext uri="{FF2B5EF4-FFF2-40B4-BE49-F238E27FC236}">
              <a16:creationId xmlns:a16="http://schemas.microsoft.com/office/drawing/2014/main" id="{16100672-C266-4399-81B2-355B67D34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TUF" refreshedDate="46038.982766550929" createdVersion="8" refreshedVersion="8" minRefreshableVersion="3" recordCount="10" xr:uid="{AF064678-013A-4D79-A5FE-7C15956241DB}">
  <cacheSource type="worksheet">
    <worksheetSource ref="A1:H11" sheet="Amazon_Sales"/>
  </cacheSource>
  <cacheFields count="8">
    <cacheField name="Order ID" numFmtId="0">
      <sharedItems containsSemiMixedTypes="0" containsString="0" containsNumber="1" containsInteger="1" minValue="1001" maxValue="1010"/>
    </cacheField>
    <cacheField name="Order Date" numFmtId="0">
      <sharedItems/>
    </cacheField>
    <cacheField name="Category" numFmtId="0">
      <sharedItems count="4">
        <s v="Electronics"/>
        <s v="Home &amp; Kitchen"/>
        <s v="Fashion"/>
        <s v="Beauty"/>
      </sharedItems>
    </cacheField>
    <cacheField name="Sub-Category" numFmtId="0">
      <sharedItems/>
    </cacheField>
    <cacheField name="Region" numFmtId="0">
      <sharedItems count="4">
        <s v="North"/>
        <s v="West"/>
        <s v="South"/>
        <s v="East"/>
      </sharedItems>
    </cacheField>
    <cacheField name="Segment" numFmtId="0">
      <sharedItems count="3">
        <s v="Consumer"/>
        <s v="Corporate"/>
        <s v="Home Office"/>
      </sharedItems>
    </cacheField>
    <cacheField name="Sales" numFmtId="0">
      <sharedItems containsSemiMixedTypes="0" containsString="0" containsNumber="1" containsInteger="1" minValue="12000" maxValue="75000"/>
    </cacheField>
    <cacheField name="Profit" numFmtId="0">
      <sharedItems containsSemiMixedTypes="0" containsString="0" containsNumber="1" containsInteger="1" minValue="2400" maxValue="15000"/>
    </cacheField>
  </cacheFields>
  <extLst>
    <ext xmlns:x14="http://schemas.microsoft.com/office/spreadsheetml/2009/9/main" uri="{725AE2AE-9491-48be-B2B4-4EB974FC3084}">
      <x14:pivotCacheDefinition pivotCacheId="20896920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TUF" refreshedDate="46039.035476273151" createdVersion="8" refreshedVersion="8" minRefreshableVersion="3" recordCount="10" xr:uid="{E19E4AAA-F779-4431-8918-02755D12AA0B}">
  <cacheSource type="worksheet">
    <worksheetSource ref="A1:I11" sheet="Amazon_Sales"/>
  </cacheSource>
  <cacheFields count="9">
    <cacheField name="Order ID" numFmtId="0">
      <sharedItems containsSemiMixedTypes="0" containsString="0" containsNumber="1" containsInteger="1" minValue="1001" maxValue="1010"/>
    </cacheField>
    <cacheField name="Order Date" numFmtId="0">
      <sharedItems/>
    </cacheField>
    <cacheField name="Category" numFmtId="0">
      <sharedItems/>
    </cacheField>
    <cacheField name="Sub-Category" numFmtId="0">
      <sharedItems/>
    </cacheField>
    <cacheField name="Region" numFmtId="0">
      <sharedItems count="4">
        <s v="North"/>
        <s v="West"/>
        <s v="South"/>
        <s v="East"/>
      </sharedItems>
    </cacheField>
    <cacheField name="Segment" numFmtId="0">
      <sharedItems/>
    </cacheField>
    <cacheField name="Sales" numFmtId="0">
      <sharedItems containsSemiMixedTypes="0" containsString="0" containsNumber="1" containsInteger="1" minValue="12000" maxValue="75000"/>
    </cacheField>
    <cacheField name="Profit" numFmtId="0">
      <sharedItems containsSemiMixedTypes="0" containsString="0" containsNumber="1" containsInteger="1" minValue="2400" maxValue="15000"/>
    </cacheField>
    <cacheField name="Profit Margin" numFmtId="9">
      <sharedItems containsSemiMixedTypes="0" containsString="0" containsNumber="1" minValue="0.2" maxValue="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s v="2024-01-05"/>
    <x v="0"/>
    <s v="Mobiles"/>
    <x v="0"/>
    <x v="0"/>
    <n v="45000"/>
    <n v="9000"/>
  </r>
  <r>
    <n v="1002"/>
    <s v="2024-01-06"/>
    <x v="0"/>
    <s v="Laptops"/>
    <x v="1"/>
    <x v="1"/>
    <n v="75000"/>
    <n v="15000"/>
  </r>
  <r>
    <n v="1003"/>
    <s v="2024-01-07"/>
    <x v="1"/>
    <s v="Cookware"/>
    <x v="2"/>
    <x v="0"/>
    <n v="18000"/>
    <n v="3600"/>
  </r>
  <r>
    <n v="1004"/>
    <s v="2024-01-08"/>
    <x v="2"/>
    <s v="Men Clothing"/>
    <x v="3"/>
    <x v="2"/>
    <n v="22000"/>
    <n v="4400"/>
  </r>
  <r>
    <n v="1005"/>
    <s v="2024-01-09"/>
    <x v="2"/>
    <s v="Women Clothing"/>
    <x v="1"/>
    <x v="0"/>
    <n v="30000"/>
    <n v="6000"/>
  </r>
  <r>
    <n v="1006"/>
    <s v="2024-01-10"/>
    <x v="0"/>
    <s v="Accessories"/>
    <x v="0"/>
    <x v="1"/>
    <n v="12000"/>
    <n v="2400"/>
  </r>
  <r>
    <n v="1007"/>
    <s v="2024-01-11"/>
    <x v="1"/>
    <s v="Furniture"/>
    <x v="2"/>
    <x v="0"/>
    <n v="40000"/>
    <n v="8000"/>
  </r>
  <r>
    <n v="1008"/>
    <s v="2024-01-12"/>
    <x v="3"/>
    <s v="Skincare"/>
    <x v="3"/>
    <x v="0"/>
    <n v="15000"/>
    <n v="3000"/>
  </r>
  <r>
    <n v="1009"/>
    <s v="2024-01-13"/>
    <x v="3"/>
    <s v="Haircare"/>
    <x v="1"/>
    <x v="2"/>
    <n v="17000"/>
    <n v="3400"/>
  </r>
  <r>
    <n v="1010"/>
    <s v="2024-01-14"/>
    <x v="0"/>
    <s v="Tablets"/>
    <x v="0"/>
    <x v="0"/>
    <n v="28000"/>
    <n v="56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s v="2024-01-05"/>
    <s v="Electronics"/>
    <s v="Mobiles"/>
    <x v="0"/>
    <s v="Consumer"/>
    <n v="45000"/>
    <n v="9000"/>
    <n v="0.2"/>
  </r>
  <r>
    <n v="1002"/>
    <s v="2024-01-06"/>
    <s v="Electronics"/>
    <s v="Laptops"/>
    <x v="1"/>
    <s v="Corporate"/>
    <n v="75000"/>
    <n v="15000"/>
    <n v="0.2"/>
  </r>
  <r>
    <n v="1003"/>
    <s v="2024-01-07"/>
    <s v="Home &amp; Kitchen"/>
    <s v="Cookware"/>
    <x v="2"/>
    <s v="Consumer"/>
    <n v="18000"/>
    <n v="3600"/>
    <n v="0.2"/>
  </r>
  <r>
    <n v="1004"/>
    <s v="2024-01-08"/>
    <s v="Fashion"/>
    <s v="Men Clothing"/>
    <x v="3"/>
    <s v="Home Office"/>
    <n v="22000"/>
    <n v="4400"/>
    <n v="0.2"/>
  </r>
  <r>
    <n v="1005"/>
    <s v="2024-01-09"/>
    <s v="Fashion"/>
    <s v="Women Clothing"/>
    <x v="1"/>
    <s v="Consumer"/>
    <n v="30000"/>
    <n v="6000"/>
    <n v="0.2"/>
  </r>
  <r>
    <n v="1006"/>
    <s v="2024-01-10"/>
    <s v="Electronics"/>
    <s v="Accessories"/>
    <x v="0"/>
    <s v="Corporate"/>
    <n v="12000"/>
    <n v="2400"/>
    <n v="0.2"/>
  </r>
  <r>
    <n v="1007"/>
    <s v="2024-01-11"/>
    <s v="Home &amp; Kitchen"/>
    <s v="Furniture"/>
    <x v="2"/>
    <s v="Consumer"/>
    <n v="40000"/>
    <n v="8000"/>
    <n v="0.2"/>
  </r>
  <r>
    <n v="1008"/>
    <s v="2024-01-12"/>
    <s v="Beauty"/>
    <s v="Skincare"/>
    <x v="3"/>
    <s v="Consumer"/>
    <n v="15000"/>
    <n v="3000"/>
    <n v="0.2"/>
  </r>
  <r>
    <n v="1009"/>
    <s v="2024-01-13"/>
    <s v="Beauty"/>
    <s v="Haircare"/>
    <x v="1"/>
    <s v="Home Office"/>
    <n v="17000"/>
    <n v="3400"/>
    <n v="0.2"/>
  </r>
  <r>
    <n v="1010"/>
    <s v="2024-01-14"/>
    <s v="Electronics"/>
    <s v="Tablets"/>
    <x v="0"/>
    <s v="Consumer"/>
    <n v="28000"/>
    <n v="5600"/>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CE6CDD-1E0E-4BD8-A999-02C53352ECEF}"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D11:E16" firstHeaderRow="1" firstDataRow="1" firstDataCol="1"/>
  <pivotFields count="9">
    <pivotField showAll="0"/>
    <pivotField showAll="0"/>
    <pivotField showAll="0"/>
    <pivotField showAll="0"/>
    <pivotField axis="axisRow" showAll="0">
      <items count="5">
        <item x="3"/>
        <item x="0"/>
        <item x="2"/>
        <item x="1"/>
        <item t="default"/>
      </items>
    </pivotField>
    <pivotField showAll="0"/>
    <pivotField dataField="1" showAll="0"/>
    <pivotField showAll="0"/>
    <pivotField numFmtId="9" showAll="0"/>
  </pivotFields>
  <rowFields count="1">
    <field x="4"/>
  </rowFields>
  <rowItems count="5">
    <i>
      <x/>
    </i>
    <i>
      <x v="1"/>
    </i>
    <i>
      <x v="2"/>
    </i>
    <i>
      <x v="3"/>
    </i>
    <i t="grand">
      <x/>
    </i>
  </rowItems>
  <colItems count="1">
    <i/>
  </colItems>
  <dataFields count="1">
    <dataField name="Sum of Sales" fld="6" baseField="0" baseItem="0"/>
  </dataFields>
  <chartFormats count="6">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4" count="1" selected="0">
            <x v="3"/>
          </reference>
        </references>
      </pivotArea>
    </chartFormat>
    <chartFormat chart="33" format="4">
      <pivotArea type="data" outline="0" fieldPosition="0">
        <references count="2">
          <reference field="4294967294" count="1" selected="0">
            <x v="0"/>
          </reference>
          <reference field="4" count="1" selected="0">
            <x v="2"/>
          </reference>
        </references>
      </pivotArea>
    </chartFormat>
    <chartFormat chart="33" format="5">
      <pivotArea type="data" outline="0" fieldPosition="0">
        <references count="2">
          <reference field="4294967294" count="1" selected="0">
            <x v="0"/>
          </reference>
          <reference field="4" count="1" selected="0">
            <x v="1"/>
          </reference>
        </references>
      </pivotArea>
    </chartFormat>
    <chartFormat chart="33"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A78459-694D-4C9F-AF69-FD9F9E8BDE19}"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8">
    <pivotField showAll="0"/>
    <pivotField showAll="0"/>
    <pivotField showAll="0"/>
    <pivotField showAll="0"/>
    <pivotField axis="axisRow" showAll="0">
      <items count="5">
        <item x="3"/>
        <item x="0"/>
        <item x="2"/>
        <item x="1"/>
        <item t="default"/>
      </items>
    </pivotField>
    <pivotField axis="axisRow" showAll="0">
      <items count="4">
        <item x="0"/>
        <item x="1"/>
        <item x="2"/>
        <item t="default"/>
      </items>
    </pivotField>
    <pivotField dataField="1" showAll="0"/>
    <pivotField showAll="0"/>
  </pivotFields>
  <rowFields count="2">
    <field x="4"/>
    <field x="5"/>
  </rowFields>
  <rowItems count="13">
    <i>
      <x/>
    </i>
    <i r="1">
      <x/>
    </i>
    <i r="1">
      <x v="2"/>
    </i>
    <i>
      <x v="1"/>
    </i>
    <i r="1">
      <x/>
    </i>
    <i r="1">
      <x v="1"/>
    </i>
    <i>
      <x v="2"/>
    </i>
    <i r="1">
      <x/>
    </i>
    <i>
      <x v="3"/>
    </i>
    <i r="1">
      <x/>
    </i>
    <i r="1">
      <x v="1"/>
    </i>
    <i r="1">
      <x v="2"/>
    </i>
    <i t="grand">
      <x/>
    </i>
  </rowItems>
  <colItems count="1">
    <i/>
  </colItems>
  <dataFields count="1">
    <dataField name="Sum of Sales" fld="6" baseField="0" baseItem="0"/>
  </dataFields>
  <chartFormats count="9">
    <chartFormat chart="5" format="10" series="1">
      <pivotArea type="data" outline="0" fieldPosition="0">
        <references count="1">
          <reference field="4294967294" count="1" selected="0">
            <x v="0"/>
          </reference>
        </references>
      </pivotArea>
    </chartFormat>
    <chartFormat chart="5" format="11">
      <pivotArea type="data" outline="0" fieldPosition="0">
        <references count="3">
          <reference field="4294967294" count="1" selected="0">
            <x v="0"/>
          </reference>
          <reference field="4" count="1" selected="0">
            <x v="0"/>
          </reference>
          <reference field="5" count="1" selected="0">
            <x v="0"/>
          </reference>
        </references>
      </pivotArea>
    </chartFormat>
    <chartFormat chart="5" format="12">
      <pivotArea type="data" outline="0" fieldPosition="0">
        <references count="3">
          <reference field="4294967294" count="1" selected="0">
            <x v="0"/>
          </reference>
          <reference field="4" count="1" selected="0">
            <x v="0"/>
          </reference>
          <reference field="5" count="1" selected="0">
            <x v="2"/>
          </reference>
        </references>
      </pivotArea>
    </chartFormat>
    <chartFormat chart="5" format="13">
      <pivotArea type="data" outline="0" fieldPosition="0">
        <references count="3">
          <reference field="4294967294" count="1" selected="0">
            <x v="0"/>
          </reference>
          <reference field="4" count="1" selected="0">
            <x v="1"/>
          </reference>
          <reference field="5" count="1" selected="0">
            <x v="0"/>
          </reference>
        </references>
      </pivotArea>
    </chartFormat>
    <chartFormat chart="5" format="14">
      <pivotArea type="data" outline="0" fieldPosition="0">
        <references count="3">
          <reference field="4294967294" count="1" selected="0">
            <x v="0"/>
          </reference>
          <reference field="4" count="1" selected="0">
            <x v="1"/>
          </reference>
          <reference field="5" count="1" selected="0">
            <x v="1"/>
          </reference>
        </references>
      </pivotArea>
    </chartFormat>
    <chartFormat chart="5" format="15">
      <pivotArea type="data" outline="0" fieldPosition="0">
        <references count="3">
          <reference field="4294967294" count="1" selected="0">
            <x v="0"/>
          </reference>
          <reference field="4" count="1" selected="0">
            <x v="2"/>
          </reference>
          <reference field="5" count="1" selected="0">
            <x v="0"/>
          </reference>
        </references>
      </pivotArea>
    </chartFormat>
    <chartFormat chart="5" format="16">
      <pivotArea type="data" outline="0" fieldPosition="0">
        <references count="3">
          <reference field="4294967294" count="1" selected="0">
            <x v="0"/>
          </reference>
          <reference field="4" count="1" selected="0">
            <x v="3"/>
          </reference>
          <reference field="5" count="1" selected="0">
            <x v="0"/>
          </reference>
        </references>
      </pivotArea>
    </chartFormat>
    <chartFormat chart="5" format="17">
      <pivotArea type="data" outline="0" fieldPosition="0">
        <references count="3">
          <reference field="4294967294" count="1" selected="0">
            <x v="0"/>
          </reference>
          <reference field="4" count="1" selected="0">
            <x v="3"/>
          </reference>
          <reference field="5" count="1" selected="0">
            <x v="1"/>
          </reference>
        </references>
      </pivotArea>
    </chartFormat>
    <chartFormat chart="5" format="18">
      <pivotArea type="data" outline="0" fieldPosition="0">
        <references count="3">
          <reference field="4294967294" count="1" selected="0">
            <x v="0"/>
          </reference>
          <reference field="4" count="1" selected="0">
            <x v="3"/>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34A9D1-9173-4A6F-A692-EE9E49A02237}"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8">
    <pivotField showAll="0"/>
    <pivotField showAll="0"/>
    <pivotField showAll="0">
      <items count="5">
        <item x="3"/>
        <item x="0"/>
        <item h="1" x="2"/>
        <item h="1" x="1"/>
        <item t="default"/>
      </items>
    </pivotField>
    <pivotField showAll="0"/>
    <pivotField axis="axisRow" showAll="0">
      <items count="5">
        <item x="3"/>
        <item x="0"/>
        <item h="1" x="2"/>
        <item h="1" x="1"/>
        <item t="default"/>
      </items>
    </pivotField>
    <pivotField axis="axisRow" showAll="0">
      <items count="4">
        <item x="0"/>
        <item h="1" x="1"/>
        <item h="1" x="2"/>
        <item t="default"/>
      </items>
    </pivotField>
    <pivotField dataField="1" showAll="0"/>
    <pivotField showAll="0"/>
  </pivotFields>
  <rowFields count="2">
    <field x="4"/>
    <field x="5"/>
  </rowFields>
  <rowItems count="5">
    <i>
      <x/>
    </i>
    <i r="1">
      <x/>
    </i>
    <i>
      <x v="1"/>
    </i>
    <i r="1">
      <x/>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6C86C2-FAC3-47D4-B401-5CEB1603B99E}"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8" firstHeaderRow="1" firstDataRow="1" firstDataCol="1"/>
  <pivotFields count="8">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2"/>
  </rowFields>
  <rowItems count="5">
    <i>
      <x v="1"/>
    </i>
    <i>
      <x v="3"/>
    </i>
    <i>
      <x v="2"/>
    </i>
    <i>
      <x/>
    </i>
    <i t="grand">
      <x/>
    </i>
  </rowItems>
  <colItems count="1">
    <i/>
  </colItems>
  <dataFields count="1">
    <dataField name="Sum of Sales" fld="6"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14B9F3-52E9-4973-8EB5-04F885DDB97B}" sourceName="Category">
  <pivotTables>
    <pivotTable tabId="2" name="PivotTable2"/>
  </pivotTables>
  <data>
    <tabular pivotCacheId="2089692029">
      <items count="4">
        <i x="3" s="1"/>
        <i x="0" s="1"/>
        <i x="2"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8ED601-7939-4956-BEBD-4B102E725991}" sourceName="Region">
  <pivotTables>
    <pivotTable tabId="2" name="PivotTable2"/>
  </pivotTables>
  <data>
    <tabular pivotCacheId="2089692029">
      <items count="4">
        <i x="3" s="1"/>
        <i x="0" s="1"/>
        <i x="2"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868F4E8-1191-44C4-BDA2-D79B91A85A59}" sourceName="Segment">
  <pivotTables>
    <pivotTable tabId="2" name="PivotTable2"/>
  </pivotTables>
  <data>
    <tabular pivotCacheId="2089692029">
      <items count="3">
        <i x="0" s="1"/>
        <i x="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C83A0CD-73A1-41FC-A52D-68697B68B75A}" cache="Slicer_Category" caption="Category" rowHeight="234950"/>
  <slicer name="Region" xr10:uid="{D61414A1-0CA6-4D4B-8B9C-7E621F610F8E}" cache="Slicer_Region" caption="Region" rowHeight="234950"/>
  <slicer name="Segment" xr10:uid="{5BFB3873-A0A2-4FD2-B9D5-8ED7C9BAD516}" cache="Slicer_Segment" caption="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57ED1-3AB2-4BE6-BE51-235D798C97EA}">
  <dimension ref="A3:H16"/>
  <sheetViews>
    <sheetView zoomScale="88" workbookViewId="0">
      <selection activeCell="D11" sqref="D11:E16"/>
    </sheetView>
  </sheetViews>
  <sheetFormatPr defaultRowHeight="14.4" x14ac:dyDescent="0.3"/>
  <cols>
    <col min="1" max="1" width="14.21875" bestFit="1" customWidth="1"/>
    <col min="2" max="2" width="11.6640625" bestFit="1" customWidth="1"/>
    <col min="4" max="4" width="13.21875" bestFit="1" customWidth="1"/>
    <col min="5" max="5" width="11.6640625" bestFit="1" customWidth="1"/>
    <col min="7" max="7" width="15.33203125" bestFit="1" customWidth="1"/>
    <col min="8" max="8" width="11.6640625" bestFit="1" customWidth="1"/>
    <col min="10" max="10" width="12.5546875" bestFit="1" customWidth="1"/>
    <col min="11" max="11" width="11.6640625" bestFit="1" customWidth="1"/>
  </cols>
  <sheetData>
    <row r="3" spans="1:8" x14ac:dyDescent="0.3">
      <c r="A3" s="1" t="s">
        <v>39</v>
      </c>
      <c r="B3" t="s">
        <v>41</v>
      </c>
      <c r="D3" s="1" t="s">
        <v>39</v>
      </c>
      <c r="E3" t="s">
        <v>41</v>
      </c>
      <c r="G3" s="1" t="s">
        <v>39</v>
      </c>
      <c r="H3" t="s">
        <v>41</v>
      </c>
    </row>
    <row r="4" spans="1:8" x14ac:dyDescent="0.3">
      <c r="A4" s="2" t="s">
        <v>9</v>
      </c>
      <c r="B4" s="3">
        <v>160000</v>
      </c>
      <c r="D4" s="2" t="s">
        <v>24</v>
      </c>
      <c r="E4" s="3">
        <v>15000</v>
      </c>
      <c r="G4" s="2" t="s">
        <v>24</v>
      </c>
      <c r="H4" s="3">
        <v>37000</v>
      </c>
    </row>
    <row r="5" spans="1:8" x14ac:dyDescent="0.3">
      <c r="A5" s="2" t="s">
        <v>18</v>
      </c>
      <c r="B5" s="3">
        <v>58000</v>
      </c>
      <c r="D5" s="4" t="s">
        <v>12</v>
      </c>
      <c r="E5" s="3">
        <v>15000</v>
      </c>
      <c r="G5" s="4" t="s">
        <v>12</v>
      </c>
      <c r="H5" s="3">
        <v>15000</v>
      </c>
    </row>
    <row r="6" spans="1:8" x14ac:dyDescent="0.3">
      <c r="A6" s="2" t="s">
        <v>22</v>
      </c>
      <c r="B6" s="3">
        <v>52000</v>
      </c>
      <c r="D6" s="2" t="s">
        <v>11</v>
      </c>
      <c r="E6" s="3">
        <v>73000</v>
      </c>
      <c r="G6" s="4" t="s">
        <v>25</v>
      </c>
      <c r="H6" s="3">
        <v>22000</v>
      </c>
    </row>
    <row r="7" spans="1:8" x14ac:dyDescent="0.3">
      <c r="A7" s="2" t="s">
        <v>33</v>
      </c>
      <c r="B7" s="3">
        <v>32000</v>
      </c>
      <c r="D7" s="4" t="s">
        <v>12</v>
      </c>
      <c r="E7" s="3">
        <v>73000</v>
      </c>
      <c r="G7" s="2" t="s">
        <v>11</v>
      </c>
      <c r="H7" s="3">
        <v>85000</v>
      </c>
    </row>
    <row r="8" spans="1:8" x14ac:dyDescent="0.3">
      <c r="A8" s="2" t="s">
        <v>40</v>
      </c>
      <c r="B8" s="3">
        <v>302000</v>
      </c>
      <c r="D8" s="2" t="s">
        <v>40</v>
      </c>
      <c r="E8" s="3">
        <v>88000</v>
      </c>
      <c r="G8" s="4" t="s">
        <v>12</v>
      </c>
      <c r="H8" s="3">
        <v>73000</v>
      </c>
    </row>
    <row r="9" spans="1:8" x14ac:dyDescent="0.3">
      <c r="G9" s="4" t="s">
        <v>16</v>
      </c>
      <c r="H9" s="3">
        <v>12000</v>
      </c>
    </row>
    <row r="10" spans="1:8" x14ac:dyDescent="0.3">
      <c r="G10" s="2" t="s">
        <v>20</v>
      </c>
      <c r="H10" s="3">
        <v>58000</v>
      </c>
    </row>
    <row r="11" spans="1:8" x14ac:dyDescent="0.3">
      <c r="D11" s="1" t="s">
        <v>39</v>
      </c>
      <c r="E11" t="s">
        <v>41</v>
      </c>
      <c r="G11" s="4" t="s">
        <v>12</v>
      </c>
      <c r="H11" s="3">
        <v>58000</v>
      </c>
    </row>
    <row r="12" spans="1:8" x14ac:dyDescent="0.3">
      <c r="D12" s="2" t="s">
        <v>24</v>
      </c>
      <c r="E12" s="3">
        <v>37000</v>
      </c>
      <c r="G12" s="2" t="s">
        <v>15</v>
      </c>
      <c r="H12" s="3">
        <v>122000</v>
      </c>
    </row>
    <row r="13" spans="1:8" x14ac:dyDescent="0.3">
      <c r="D13" s="2" t="s">
        <v>11</v>
      </c>
      <c r="E13" s="3">
        <v>85000</v>
      </c>
      <c r="G13" s="4" t="s">
        <v>12</v>
      </c>
      <c r="H13" s="3">
        <v>30000</v>
      </c>
    </row>
    <row r="14" spans="1:8" x14ac:dyDescent="0.3">
      <c r="D14" s="2" t="s">
        <v>20</v>
      </c>
      <c r="E14" s="3">
        <v>58000</v>
      </c>
      <c r="G14" s="4" t="s">
        <v>16</v>
      </c>
      <c r="H14" s="3">
        <v>75000</v>
      </c>
    </row>
    <row r="15" spans="1:8" x14ac:dyDescent="0.3">
      <c r="D15" s="2" t="s">
        <v>15</v>
      </c>
      <c r="E15" s="3">
        <v>122000</v>
      </c>
      <c r="G15" s="4" t="s">
        <v>25</v>
      </c>
      <c r="H15" s="3">
        <v>17000</v>
      </c>
    </row>
    <row r="16" spans="1:8" x14ac:dyDescent="0.3">
      <c r="D16" s="2" t="s">
        <v>40</v>
      </c>
      <c r="E16" s="3">
        <v>302000</v>
      </c>
      <c r="G16" s="2" t="s">
        <v>40</v>
      </c>
      <c r="H16" s="3">
        <v>302000</v>
      </c>
    </row>
  </sheetData>
  <conditionalFormatting sqref="H1:H3 H17:H1048576">
    <cfRule type="colorScale" priority="2">
      <colorScale>
        <cfvo type="min"/>
        <cfvo type="max"/>
        <color rgb="FFFCFCFF"/>
        <color rgb="FFF8696B"/>
      </colorScale>
    </cfRule>
  </conditionalFormatting>
  <conditionalFormatting sqref="G3:H17">
    <cfRule type="colorScale" priority="1">
      <colorScale>
        <cfvo type="min"/>
        <cfvo type="max"/>
        <color rgb="FFFCFCFF"/>
        <color rgb="FFF8696B"/>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55E9-58E6-4B21-A72D-9C6C924933FC}">
  <dimension ref="A21:Y30"/>
  <sheetViews>
    <sheetView zoomScale="65" workbookViewId="0">
      <selection activeCell="L16" sqref="L16"/>
    </sheetView>
  </sheetViews>
  <sheetFormatPr defaultRowHeight="14.4" x14ac:dyDescent="0.3"/>
  <cols>
    <col min="23" max="23" width="8.88671875" customWidth="1"/>
    <col min="24" max="24" width="12.21875" customWidth="1"/>
  </cols>
  <sheetData>
    <row r="21" spans="1:25" s="8" customFormat="1" ht="28.8" x14ac:dyDescent="0.55000000000000004">
      <c r="B21" s="8" t="s">
        <v>51</v>
      </c>
    </row>
    <row r="24" spans="1:25" x14ac:dyDescent="0.3">
      <c r="A24">
        <v>1</v>
      </c>
      <c r="B24" s="6" t="s">
        <v>43</v>
      </c>
      <c r="M24">
        <v>1</v>
      </c>
      <c r="N24" s="6" t="s">
        <v>47</v>
      </c>
      <c r="Y24" s="9" t="s">
        <v>52</v>
      </c>
    </row>
    <row r="25" spans="1:25" x14ac:dyDescent="0.3">
      <c r="Y25" s="10"/>
    </row>
    <row r="26" spans="1:25" x14ac:dyDescent="0.3">
      <c r="A26">
        <v>2</v>
      </c>
      <c r="B26" s="6" t="s">
        <v>44</v>
      </c>
      <c r="M26">
        <v>2</v>
      </c>
      <c r="N26" s="6" t="s">
        <v>48</v>
      </c>
      <c r="Y26" s="9" t="s">
        <v>53</v>
      </c>
    </row>
    <row r="27" spans="1:25" x14ac:dyDescent="0.3">
      <c r="Y27" s="10"/>
    </row>
    <row r="28" spans="1:25" x14ac:dyDescent="0.3">
      <c r="A28">
        <v>3</v>
      </c>
      <c r="B28" s="6" t="s">
        <v>45</v>
      </c>
      <c r="M28">
        <v>3</v>
      </c>
      <c r="N28" s="6" t="s">
        <v>49</v>
      </c>
      <c r="Y28" s="9" t="s">
        <v>54</v>
      </c>
    </row>
    <row r="29" spans="1:25" x14ac:dyDescent="0.3">
      <c r="Y29" s="10"/>
    </row>
    <row r="30" spans="1:25" x14ac:dyDescent="0.3">
      <c r="A30">
        <v>4</v>
      </c>
      <c r="B30" s="6" t="s">
        <v>46</v>
      </c>
      <c r="M30">
        <v>4</v>
      </c>
      <c r="N30" s="6" t="s">
        <v>50</v>
      </c>
      <c r="Y30" s="9" t="s">
        <v>55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zoomScale="139" workbookViewId="0">
      <selection activeCell="C3" sqref="C3"/>
    </sheetView>
  </sheetViews>
  <sheetFormatPr defaultRowHeight="14.4" x14ac:dyDescent="0.3"/>
  <cols>
    <col min="2" max="2" width="16" customWidth="1"/>
    <col min="3" max="3" width="14.6640625" customWidth="1"/>
    <col min="4" max="4" width="15.44140625" customWidth="1"/>
    <col min="5" max="5" width="9.33203125" customWidth="1"/>
    <col min="6" max="6" width="11.44140625" customWidth="1"/>
    <col min="7" max="7" width="11" customWidth="1"/>
    <col min="8" max="8" width="11.109375" customWidth="1"/>
    <col min="9" max="9" width="11.77734375" customWidth="1"/>
  </cols>
  <sheetData>
    <row r="1" spans="1:9" s="7" customFormat="1" ht="15.6" x14ac:dyDescent="0.3">
      <c r="A1" s="7" t="s">
        <v>0</v>
      </c>
      <c r="B1" s="7" t="s">
        <v>1</v>
      </c>
      <c r="C1" s="7" t="s">
        <v>2</v>
      </c>
      <c r="D1" s="7" t="s">
        <v>3</v>
      </c>
      <c r="E1" s="7" t="s">
        <v>4</v>
      </c>
      <c r="F1" s="7" t="s">
        <v>5</v>
      </c>
      <c r="G1" s="7" t="s">
        <v>6</v>
      </c>
      <c r="H1" s="7" t="s">
        <v>7</v>
      </c>
      <c r="I1" s="7" t="s">
        <v>42</v>
      </c>
    </row>
    <row r="2" spans="1:9" x14ac:dyDescent="0.3">
      <c r="A2">
        <v>1001</v>
      </c>
      <c r="B2" t="s">
        <v>8</v>
      </c>
      <c r="C2" t="s">
        <v>9</v>
      </c>
      <c r="D2" t="s">
        <v>10</v>
      </c>
      <c r="E2" t="s">
        <v>11</v>
      </c>
      <c r="F2" t="s">
        <v>12</v>
      </c>
      <c r="G2">
        <v>45000</v>
      </c>
      <c r="H2">
        <v>9000</v>
      </c>
      <c r="I2" s="5">
        <f>H2/G2</f>
        <v>0.2</v>
      </c>
    </row>
    <row r="3" spans="1:9" x14ac:dyDescent="0.3">
      <c r="A3">
        <v>1002</v>
      </c>
      <c r="B3" t="s">
        <v>13</v>
      </c>
      <c r="C3" t="s">
        <v>9</v>
      </c>
      <c r="D3" t="s">
        <v>14</v>
      </c>
      <c r="E3" t="s">
        <v>15</v>
      </c>
      <c r="F3" t="s">
        <v>16</v>
      </c>
      <c r="G3">
        <v>75000</v>
      </c>
      <c r="H3">
        <v>15000</v>
      </c>
      <c r="I3" s="5">
        <f>H3/G3</f>
        <v>0.2</v>
      </c>
    </row>
    <row r="4" spans="1:9" x14ac:dyDescent="0.3">
      <c r="A4">
        <v>1003</v>
      </c>
      <c r="B4" t="s">
        <v>17</v>
      </c>
      <c r="C4" t="s">
        <v>18</v>
      </c>
      <c r="D4" t="s">
        <v>19</v>
      </c>
      <c r="E4" t="s">
        <v>20</v>
      </c>
      <c r="F4" t="s">
        <v>12</v>
      </c>
      <c r="G4">
        <v>18000</v>
      </c>
      <c r="H4">
        <v>3600</v>
      </c>
      <c r="I4" s="5">
        <f>H4/G4</f>
        <v>0.2</v>
      </c>
    </row>
    <row r="5" spans="1:9" x14ac:dyDescent="0.3">
      <c r="A5">
        <v>1004</v>
      </c>
      <c r="B5" t="s">
        <v>21</v>
      </c>
      <c r="C5" t="s">
        <v>22</v>
      </c>
      <c r="D5" t="s">
        <v>23</v>
      </c>
      <c r="E5" t="s">
        <v>24</v>
      </c>
      <c r="F5" t="s">
        <v>25</v>
      </c>
      <c r="G5">
        <v>22000</v>
      </c>
      <c r="H5">
        <v>4400</v>
      </c>
      <c r="I5" s="5">
        <f t="shared" ref="I5:I11" si="0">H5/G5</f>
        <v>0.2</v>
      </c>
    </row>
    <row r="6" spans="1:9" x14ac:dyDescent="0.3">
      <c r="A6">
        <v>1005</v>
      </c>
      <c r="B6" t="s">
        <v>26</v>
      </c>
      <c r="C6" t="s">
        <v>22</v>
      </c>
      <c r="D6" t="s">
        <v>27</v>
      </c>
      <c r="E6" t="s">
        <v>15</v>
      </c>
      <c r="F6" t="s">
        <v>12</v>
      </c>
      <c r="G6">
        <v>30000</v>
      </c>
      <c r="H6">
        <v>6000</v>
      </c>
      <c r="I6" s="5">
        <f t="shared" si="0"/>
        <v>0.2</v>
      </c>
    </row>
    <row r="7" spans="1:9" x14ac:dyDescent="0.3">
      <c r="A7">
        <v>1006</v>
      </c>
      <c r="B7" t="s">
        <v>28</v>
      </c>
      <c r="C7" t="s">
        <v>9</v>
      </c>
      <c r="D7" t="s">
        <v>29</v>
      </c>
      <c r="E7" t="s">
        <v>11</v>
      </c>
      <c r="F7" t="s">
        <v>16</v>
      </c>
      <c r="G7">
        <v>12000</v>
      </c>
      <c r="H7">
        <v>2400</v>
      </c>
      <c r="I7" s="5">
        <f t="shared" si="0"/>
        <v>0.2</v>
      </c>
    </row>
    <row r="8" spans="1:9" x14ac:dyDescent="0.3">
      <c r="A8">
        <v>1007</v>
      </c>
      <c r="B8" t="s">
        <v>30</v>
      </c>
      <c r="C8" t="s">
        <v>18</v>
      </c>
      <c r="D8" t="s">
        <v>31</v>
      </c>
      <c r="E8" t="s">
        <v>20</v>
      </c>
      <c r="F8" t="s">
        <v>12</v>
      </c>
      <c r="G8">
        <v>40000</v>
      </c>
      <c r="H8">
        <v>8000</v>
      </c>
      <c r="I8" s="5">
        <f t="shared" si="0"/>
        <v>0.2</v>
      </c>
    </row>
    <row r="9" spans="1:9" x14ac:dyDescent="0.3">
      <c r="A9">
        <v>1008</v>
      </c>
      <c r="B9" t="s">
        <v>32</v>
      </c>
      <c r="C9" t="s">
        <v>33</v>
      </c>
      <c r="D9" t="s">
        <v>34</v>
      </c>
      <c r="E9" t="s">
        <v>24</v>
      </c>
      <c r="F9" t="s">
        <v>12</v>
      </c>
      <c r="G9">
        <v>15000</v>
      </c>
      <c r="H9">
        <v>3000</v>
      </c>
      <c r="I9" s="5">
        <f t="shared" si="0"/>
        <v>0.2</v>
      </c>
    </row>
    <row r="10" spans="1:9" x14ac:dyDescent="0.3">
      <c r="A10">
        <v>1009</v>
      </c>
      <c r="B10" t="s">
        <v>35</v>
      </c>
      <c r="C10" t="s">
        <v>33</v>
      </c>
      <c r="D10" t="s">
        <v>36</v>
      </c>
      <c r="E10" t="s">
        <v>15</v>
      </c>
      <c r="F10" t="s">
        <v>25</v>
      </c>
      <c r="G10">
        <v>17000</v>
      </c>
      <c r="H10">
        <v>3400</v>
      </c>
      <c r="I10" s="5">
        <f t="shared" si="0"/>
        <v>0.2</v>
      </c>
    </row>
    <row r="11" spans="1:9" x14ac:dyDescent="0.3">
      <c r="A11">
        <v>1010</v>
      </c>
      <c r="B11" t="s">
        <v>37</v>
      </c>
      <c r="C11" t="s">
        <v>9</v>
      </c>
      <c r="D11" t="s">
        <v>38</v>
      </c>
      <c r="E11" t="s">
        <v>11</v>
      </c>
      <c r="F11" t="s">
        <v>12</v>
      </c>
      <c r="G11">
        <v>28000</v>
      </c>
      <c r="H11">
        <v>5600</v>
      </c>
      <c r="I11" s="5">
        <f t="shared" si="0"/>
        <v>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Charts</vt:lpstr>
      <vt:lpstr>Amazon_Sales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Jivitesh Khanna</cp:lastModifiedBy>
  <dcterms:created xsi:type="dcterms:W3CDTF">2026-01-16T15:25:47Z</dcterms:created>
  <dcterms:modified xsi:type="dcterms:W3CDTF">2026-01-16T19:39:57Z</dcterms:modified>
</cp:coreProperties>
</file>